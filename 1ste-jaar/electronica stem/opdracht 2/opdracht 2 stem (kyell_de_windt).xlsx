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vives\electronica stem\opdracht 2\"/>
    </mc:Choice>
  </mc:AlternateContent>
  <xr:revisionPtr revIDLastSave="0" documentId="13_ncr:1_{0AE8B977-3829-42B0-B98A-4B1EAC1713EF}" xr6:coauthVersionLast="47" xr6:coauthVersionMax="47" xr10:uidLastSave="{00000000-0000-0000-0000-000000000000}"/>
  <bookViews>
    <workbookView xWindow="-120" yWindow="-120" windowWidth="29040" windowHeight="15720" xr2:uid="{9E68B3D0-CC52-4286-AC00-5FA5A0851C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6" i="1" l="1"/>
  <c r="R46" i="1"/>
  <c r="E46" i="1"/>
  <c r="F46" i="1" s="1"/>
  <c r="D46" i="1"/>
  <c r="T22" i="1"/>
  <c r="S22" i="1"/>
  <c r="F22" i="1"/>
  <c r="E22" i="1"/>
  <c r="D22" i="1"/>
  <c r="T42" i="1"/>
  <c r="R42" i="1"/>
  <c r="Q42" i="1"/>
  <c r="S42" i="1"/>
  <c r="F42" i="1"/>
  <c r="D42" i="1"/>
  <c r="C42" i="1"/>
  <c r="C41" i="1"/>
  <c r="E42" i="1"/>
  <c r="U18" i="1"/>
  <c r="S18" i="1"/>
  <c r="T18" i="1"/>
  <c r="R18" i="1"/>
  <c r="F18" i="1"/>
  <c r="D18" i="1"/>
  <c r="C18" i="1"/>
  <c r="E18" i="1"/>
  <c r="Q41" i="1"/>
  <c r="R41" i="1"/>
  <c r="R40" i="1"/>
  <c r="Q40" i="1"/>
  <c r="R43" i="1"/>
  <c r="D41" i="1"/>
  <c r="D40" i="1"/>
  <c r="D43" i="1"/>
  <c r="C40" i="1"/>
  <c r="T19" i="1"/>
  <c r="S19" i="1"/>
  <c r="R17" i="1"/>
  <c r="S17" i="1"/>
  <c r="S16" i="1"/>
  <c r="R16" i="1"/>
  <c r="F17" i="1"/>
  <c r="F16" i="1"/>
  <c r="F19" i="1"/>
  <c r="E17" i="1"/>
  <c r="E16" i="1"/>
  <c r="D19" i="1"/>
  <c r="E19" i="1"/>
  <c r="C17" i="1"/>
  <c r="D17" i="1"/>
  <c r="D16" i="1"/>
  <c r="C16" i="1"/>
  <c r="T46" i="1" l="1"/>
  <c r="U22" i="1"/>
  <c r="S43" i="1"/>
  <c r="E43" i="1"/>
  <c r="T17" i="1"/>
  <c r="T16" i="1"/>
  <c r="U16" i="1" s="1"/>
  <c r="U17" i="1"/>
  <c r="U19" i="1"/>
  <c r="S41" i="1" l="1"/>
  <c r="T41" i="1" s="1"/>
  <c r="S40" i="1"/>
  <c r="T40" i="1" s="1"/>
  <c r="T43" i="1"/>
  <c r="F43" i="1"/>
  <c r="E41" i="1"/>
  <c r="F41" i="1" s="1"/>
  <c r="E40" i="1"/>
  <c r="F40" i="1" s="1"/>
</calcChain>
</file>

<file path=xl/sharedStrings.xml><?xml version="1.0" encoding="utf-8"?>
<sst xmlns="http://schemas.openxmlformats.org/spreadsheetml/2006/main" count="99" uniqueCount="31">
  <si>
    <t xml:space="preserve">led </t>
  </si>
  <si>
    <t xml:space="preserve">rood </t>
  </si>
  <si>
    <t>5mm</t>
  </si>
  <si>
    <t>Uled</t>
  </si>
  <si>
    <r>
      <t>I</t>
    </r>
    <r>
      <rPr>
        <vertAlign val="subscript"/>
        <sz val="11"/>
        <color theme="1"/>
        <rFont val="Aptos Narrow"/>
        <family val="2"/>
        <scheme val="minor"/>
      </rPr>
      <t>led</t>
    </r>
  </si>
  <si>
    <r>
      <t>U</t>
    </r>
    <r>
      <rPr>
        <vertAlign val="subscript"/>
        <sz val="11"/>
        <color theme="1"/>
        <rFont val="Aptos Narrow"/>
        <family val="2"/>
        <scheme val="minor"/>
      </rPr>
      <t>bron</t>
    </r>
  </si>
  <si>
    <t>A</t>
  </si>
  <si>
    <t>V</t>
  </si>
  <si>
    <t>R1</t>
  </si>
  <si>
    <t>R2</t>
  </si>
  <si>
    <t>Ω</t>
  </si>
  <si>
    <r>
      <t>situatie 1 U</t>
    </r>
    <r>
      <rPr>
        <b/>
        <vertAlign val="subscript"/>
        <sz val="16"/>
        <color theme="1"/>
        <rFont val="Aptos Narrow"/>
        <family val="2"/>
        <scheme val="minor"/>
      </rPr>
      <t>R2</t>
    </r>
    <r>
      <rPr>
        <b/>
        <sz val="16"/>
        <color theme="1"/>
        <rFont val="Aptos Narrow"/>
        <family val="2"/>
        <scheme val="minor"/>
      </rPr>
      <t xml:space="preserve"> = 3 V</t>
    </r>
  </si>
  <si>
    <t>berekend</t>
  </si>
  <si>
    <t>gemeten</t>
  </si>
  <si>
    <t>Ohm=Ω</t>
  </si>
  <si>
    <t>U = V</t>
  </si>
  <si>
    <t>I = A</t>
  </si>
  <si>
    <t>P = W</t>
  </si>
  <si>
    <t>U1</t>
  </si>
  <si>
    <t>U2</t>
  </si>
  <si>
    <t>S1</t>
  </si>
  <si>
    <t>S2</t>
  </si>
  <si>
    <t>S3</t>
  </si>
  <si>
    <t>S4</t>
  </si>
  <si>
    <r>
      <t>situatie 2 U</t>
    </r>
    <r>
      <rPr>
        <b/>
        <vertAlign val="subscript"/>
        <sz val="16"/>
        <color theme="1"/>
        <rFont val="Aptos Narrow"/>
        <family val="2"/>
        <scheme val="minor"/>
      </rPr>
      <t>R2</t>
    </r>
    <r>
      <rPr>
        <b/>
        <sz val="16"/>
        <color theme="1"/>
        <rFont val="Aptos Narrow"/>
        <family val="2"/>
        <scheme val="minor"/>
      </rPr>
      <t xml:space="preserve"> = 5,5 V</t>
    </r>
  </si>
  <si>
    <t>T</t>
  </si>
  <si>
    <r>
      <t>situatie 3 U</t>
    </r>
    <r>
      <rPr>
        <b/>
        <vertAlign val="subscript"/>
        <sz val="16"/>
        <color theme="1"/>
        <rFont val="Aptos Narrow"/>
        <family val="2"/>
        <scheme val="minor"/>
      </rPr>
      <t>R2</t>
    </r>
    <r>
      <rPr>
        <b/>
        <sz val="16"/>
        <color theme="1"/>
        <rFont val="Aptos Narrow"/>
        <family val="2"/>
        <scheme val="minor"/>
      </rPr>
      <t xml:space="preserve"> = 7,4 V</t>
    </r>
  </si>
  <si>
    <r>
      <t>situatie 4 U</t>
    </r>
    <r>
      <rPr>
        <b/>
        <vertAlign val="subscript"/>
        <sz val="16"/>
        <color theme="1"/>
        <rFont val="Aptos Narrow"/>
        <family val="2"/>
        <scheme val="minor"/>
      </rPr>
      <t>R2</t>
    </r>
    <r>
      <rPr>
        <b/>
        <sz val="16"/>
        <color theme="1"/>
        <rFont val="Aptos Narrow"/>
        <family val="2"/>
        <scheme val="minor"/>
      </rPr>
      <t xml:space="preserve"> = 9 V</t>
    </r>
  </si>
  <si>
    <t>Rled</t>
  </si>
  <si>
    <t>led</t>
  </si>
  <si>
    <t>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</si>
</sst>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0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</font>
    <font>
      <b/>
      <sz val="16"/>
      <color theme="1"/>
      <name val="Aptos Narrow"/>
      <family val="2"/>
      <scheme val="minor"/>
    </font>
    <font>
      <b/>
      <vertAlign val="subscript"/>
      <sz val="16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1"/>
      <color theme="0"/>
      <name val="Aptos Narrow"/>
      <family val="2"/>
    </font>
  </fonts>
  <fills count="11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dashed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4" fontId="0" fillId="4" borderId="3" xfId="0" applyNumberFormat="1" applyFill="1" applyBorder="1" applyAlignment="1">
      <alignment horizontal="center" vertical="center"/>
    </xf>
    <xf numFmtId="164" fontId="0" fillId="0" borderId="0" xfId="0" applyNumberFormat="1" applyFill="1" applyBorder="1" applyAlignment="1">
      <alignment horizontal="center" vertical="center"/>
    </xf>
    <xf numFmtId="164" fontId="0" fillId="0" borderId="0" xfId="0" applyNumberFormat="1" applyFill="1" applyAlignment="1">
      <alignment horizontal="center" vertical="center"/>
    </xf>
    <xf numFmtId="164" fontId="6" fillId="5" borderId="1" xfId="0" applyNumberFormat="1" applyFont="1" applyFill="1" applyBorder="1" applyAlignment="1">
      <alignment horizontal="center" vertical="center"/>
    </xf>
    <xf numFmtId="164" fontId="0" fillId="5" borderId="2" xfId="0" applyNumberFormat="1" applyFont="1" applyFill="1" applyBorder="1" applyAlignment="1">
      <alignment horizontal="center" vertical="center"/>
    </xf>
    <xf numFmtId="164" fontId="0" fillId="5" borderId="3" xfId="0" applyNumberFormat="1" applyFont="1" applyFill="1" applyBorder="1" applyAlignment="1">
      <alignment horizontal="center" vertical="center"/>
    </xf>
    <xf numFmtId="164" fontId="6" fillId="0" borderId="0" xfId="0" applyNumberFormat="1" applyFont="1" applyBorder="1" applyAlignment="1">
      <alignment horizontal="center" vertical="center"/>
    </xf>
    <xf numFmtId="164" fontId="0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4" fontId="6" fillId="0" borderId="0" xfId="0" applyNumberFormat="1" applyFont="1" applyFill="1" applyBorder="1" applyAlignment="1">
      <alignment horizontal="center" vertical="center"/>
    </xf>
    <xf numFmtId="164" fontId="0" fillId="0" borderId="0" xfId="0" applyNumberFormat="1" applyFont="1" applyFill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6" fillId="0" borderId="0" xfId="0" applyNumberFormat="1" applyFont="1" applyFill="1" applyBorder="1" applyAlignment="1">
      <alignment vertical="center"/>
    </xf>
    <xf numFmtId="164" fontId="0" fillId="0" borderId="0" xfId="0" applyNumberFormat="1" applyFont="1" applyFill="1" applyBorder="1" applyAlignment="1">
      <alignment vertical="center"/>
    </xf>
    <xf numFmtId="164" fontId="8" fillId="0" borderId="0" xfId="0" applyNumberFormat="1" applyFont="1" applyAlignment="1">
      <alignment vertical="center"/>
    </xf>
    <xf numFmtId="164" fontId="6" fillId="6" borderId="1" xfId="0" applyNumberFormat="1" applyFont="1" applyFill="1" applyBorder="1" applyAlignment="1">
      <alignment horizontal="center" vertical="center"/>
    </xf>
    <xf numFmtId="164" fontId="0" fillId="6" borderId="2" xfId="0" applyNumberFormat="1" applyFont="1" applyFill="1" applyBorder="1" applyAlignment="1">
      <alignment horizontal="center" vertical="center"/>
    </xf>
    <xf numFmtId="164" fontId="0" fillId="6" borderId="3" xfId="0" applyNumberFormat="1" applyFont="1" applyFill="1" applyBorder="1" applyAlignment="1">
      <alignment horizontal="center" vertical="center"/>
    </xf>
    <xf numFmtId="164" fontId="6" fillId="7" borderId="1" xfId="0" applyNumberFormat="1" applyFont="1" applyFill="1" applyBorder="1" applyAlignment="1">
      <alignment horizontal="center" vertical="center"/>
    </xf>
    <xf numFmtId="164" fontId="0" fillId="7" borderId="2" xfId="0" applyNumberFormat="1" applyFont="1" applyFill="1" applyBorder="1" applyAlignment="1">
      <alignment horizontal="center" vertical="center"/>
    </xf>
    <xf numFmtId="164" fontId="0" fillId="7" borderId="3" xfId="0" applyNumberFormat="1" applyFont="1" applyFill="1" applyBorder="1" applyAlignment="1">
      <alignment horizontal="center" vertical="center"/>
    </xf>
    <xf numFmtId="164" fontId="6" fillId="3" borderId="1" xfId="0" applyNumberFormat="1" applyFont="1" applyFill="1" applyBorder="1" applyAlignment="1">
      <alignment horizontal="center" vertical="center"/>
    </xf>
    <xf numFmtId="164" fontId="0" fillId="3" borderId="2" xfId="0" applyNumberFormat="1" applyFont="1" applyFill="1" applyBorder="1" applyAlignment="1">
      <alignment horizontal="center" vertical="center"/>
    </xf>
    <xf numFmtId="164" fontId="0" fillId="3" borderId="3" xfId="0" applyNumberFormat="1" applyFont="1" applyFill="1" applyBorder="1" applyAlignment="1">
      <alignment horizontal="center" vertical="center"/>
    </xf>
    <xf numFmtId="164" fontId="4" fillId="8" borderId="9" xfId="0" applyNumberFormat="1" applyFont="1" applyFill="1" applyBorder="1" applyAlignment="1">
      <alignment horizontal="center" vertical="center"/>
    </xf>
    <xf numFmtId="164" fontId="9" fillId="8" borderId="11" xfId="0" applyNumberFormat="1" applyFont="1" applyFill="1" applyBorder="1" applyAlignment="1">
      <alignment horizontal="center" vertical="center"/>
    </xf>
    <xf numFmtId="164" fontId="8" fillId="9" borderId="1" xfId="0" applyNumberFormat="1" applyFont="1" applyFill="1" applyBorder="1" applyAlignment="1">
      <alignment horizontal="center" vertical="center"/>
    </xf>
    <xf numFmtId="164" fontId="8" fillId="9" borderId="2" xfId="0" applyNumberFormat="1" applyFont="1" applyFill="1" applyBorder="1" applyAlignment="1">
      <alignment horizontal="center" vertical="center"/>
    </xf>
    <xf numFmtId="164" fontId="8" fillId="9" borderId="3" xfId="0" applyNumberFormat="1" applyFont="1" applyFill="1" applyBorder="1" applyAlignment="1">
      <alignment horizontal="center" vertical="center"/>
    </xf>
    <xf numFmtId="164" fontId="5" fillId="9" borderId="8" xfId="0" applyNumberFormat="1" applyFont="1" applyFill="1" applyBorder="1" applyAlignment="1">
      <alignment horizontal="center" vertical="center"/>
    </xf>
    <xf numFmtId="164" fontId="0" fillId="9" borderId="8" xfId="0" applyNumberFormat="1" applyFill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164" fontId="0" fillId="0" borderId="12" xfId="0" applyNumberFormat="1" applyFill="1" applyBorder="1" applyAlignment="1">
      <alignment horizontal="center" vertical="center"/>
    </xf>
    <xf numFmtId="164" fontId="8" fillId="0" borderId="0" xfId="0" applyNumberFormat="1" applyFont="1" applyFill="1" applyBorder="1" applyAlignment="1">
      <alignment vertical="center"/>
    </xf>
    <xf numFmtId="164" fontId="0" fillId="0" borderId="0" xfId="0" applyNumberFormat="1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164" fontId="1" fillId="10" borderId="14" xfId="0" applyNumberFormat="1" applyFont="1" applyFill="1" applyBorder="1" applyAlignment="1">
      <alignment horizontal="center" vertical="center"/>
    </xf>
    <xf numFmtId="164" fontId="1" fillId="10" borderId="15" xfId="0" applyNumberFormat="1" applyFont="1" applyFill="1" applyBorder="1" applyAlignment="1">
      <alignment horizontal="center" vertical="center"/>
    </xf>
    <xf numFmtId="164" fontId="1" fillId="10" borderId="16" xfId="0" applyNumberFormat="1" applyFont="1" applyFill="1" applyBorder="1" applyAlignment="1">
      <alignment horizontal="center" vertical="center"/>
    </xf>
    <xf numFmtId="164" fontId="0" fillId="10" borderId="17" xfId="0" applyNumberFormat="1" applyFill="1" applyBorder="1" applyAlignment="1">
      <alignment horizontal="center" vertical="center"/>
    </xf>
    <xf numFmtId="164" fontId="0" fillId="10" borderId="18" xfId="0" applyNumberFormat="1" applyFill="1" applyBorder="1" applyAlignment="1">
      <alignment horizontal="center" vertical="center"/>
    </xf>
    <xf numFmtId="164" fontId="0" fillId="10" borderId="19" xfId="0" applyNumberFormat="1" applyFill="1" applyBorder="1" applyAlignment="1">
      <alignment horizontal="center" vertical="center"/>
    </xf>
    <xf numFmtId="164" fontId="0" fillId="10" borderId="21" xfId="0" applyNumberFormat="1" applyFill="1" applyBorder="1" applyAlignment="1">
      <alignment horizontal="center" vertical="center"/>
    </xf>
    <xf numFmtId="164" fontId="8" fillId="0" borderId="4" xfId="0" applyNumberFormat="1" applyFont="1" applyFill="1" applyBorder="1" applyAlignment="1">
      <alignment vertical="center"/>
    </xf>
    <xf numFmtId="165" fontId="0" fillId="5" borderId="0" xfId="0" applyNumberFormat="1" applyFill="1" applyAlignment="1">
      <alignment horizontal="center" vertical="center"/>
    </xf>
    <xf numFmtId="165" fontId="0" fillId="5" borderId="5" xfId="0" applyNumberFormat="1" applyFill="1" applyBorder="1" applyAlignment="1">
      <alignment horizontal="center" vertical="center"/>
    </xf>
    <xf numFmtId="165" fontId="0" fillId="5" borderId="6" xfId="0" applyNumberFormat="1" applyFill="1" applyBorder="1" applyAlignment="1">
      <alignment horizontal="center" vertical="center"/>
    </xf>
    <xf numFmtId="165" fontId="0" fillId="6" borderId="0" xfId="0" applyNumberFormat="1" applyFill="1" applyAlignment="1">
      <alignment horizontal="center" vertical="center"/>
    </xf>
    <xf numFmtId="165" fontId="0" fillId="6" borderId="5" xfId="0" applyNumberFormat="1" applyFill="1" applyBorder="1" applyAlignment="1">
      <alignment horizontal="center" vertical="center"/>
    </xf>
    <xf numFmtId="165" fontId="0" fillId="6" borderId="7" xfId="0" applyNumberFormat="1" applyFill="1" applyBorder="1" applyAlignment="1">
      <alignment horizontal="center" vertical="center"/>
    </xf>
    <xf numFmtId="165" fontId="0" fillId="6" borderId="6" xfId="0" applyNumberFormat="1" applyFill="1" applyBorder="1" applyAlignment="1">
      <alignment horizontal="center" vertical="center"/>
    </xf>
    <xf numFmtId="165" fontId="0" fillId="2" borderId="0" xfId="0" applyNumberFormat="1" applyFill="1" applyAlignment="1">
      <alignment horizontal="center" vertical="center"/>
    </xf>
    <xf numFmtId="165" fontId="0" fillId="2" borderId="5" xfId="0" applyNumberFormat="1" applyFill="1" applyBorder="1" applyAlignment="1">
      <alignment horizontal="center" vertical="center"/>
    </xf>
    <xf numFmtId="165" fontId="0" fillId="2" borderId="7" xfId="0" applyNumberFormat="1" applyFill="1" applyBorder="1" applyAlignment="1">
      <alignment horizontal="center" vertical="center"/>
    </xf>
    <xf numFmtId="165" fontId="0" fillId="2" borderId="6" xfId="0" applyNumberFormat="1" applyFill="1" applyBorder="1" applyAlignment="1">
      <alignment horizontal="center" vertical="center"/>
    </xf>
    <xf numFmtId="165" fontId="0" fillId="3" borderId="0" xfId="0" applyNumberFormat="1" applyFill="1" applyAlignment="1">
      <alignment horizontal="center" vertical="center"/>
    </xf>
    <xf numFmtId="165" fontId="0" fillId="3" borderId="5" xfId="0" applyNumberFormat="1" applyFill="1" applyBorder="1" applyAlignment="1">
      <alignment horizontal="center" vertical="center"/>
    </xf>
    <xf numFmtId="165" fontId="0" fillId="3" borderId="6" xfId="0" applyNumberFormat="1" applyFill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2" fontId="0" fillId="0" borderId="0" xfId="0" applyNumberFormat="1"/>
    <xf numFmtId="1" fontId="0" fillId="0" borderId="0" xfId="0" applyNumberFormat="1"/>
    <xf numFmtId="1" fontId="0" fillId="0" borderId="13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10" borderId="20" xfId="0" applyNumberFormat="1" applyFill="1" applyBorder="1" applyAlignment="1">
      <alignment horizontal="center" vertical="center"/>
    </xf>
    <xf numFmtId="1" fontId="0" fillId="0" borderId="0" xfId="0" applyNumberFormat="1" applyFill="1" applyAlignment="1">
      <alignment horizontal="center" vertical="center"/>
    </xf>
    <xf numFmtId="1" fontId="4" fillId="8" borderId="10" xfId="0" applyNumberFormat="1" applyFont="1" applyFill="1" applyBorder="1" applyAlignment="1">
      <alignment horizontal="center" vertical="center"/>
    </xf>
    <xf numFmtId="1" fontId="0" fillId="4" borderId="2" xfId="0" applyNumberFormat="1" applyFill="1" applyBorder="1" applyAlignment="1">
      <alignment horizontal="center" vertical="center"/>
    </xf>
    <xf numFmtId="1" fontId="0" fillId="10" borderId="10" xfId="0" applyNumberFormat="1" applyFill="1" applyBorder="1" applyAlignment="1">
      <alignment horizontal="center" vertical="center"/>
    </xf>
    <xf numFmtId="1" fontId="0" fillId="5" borderId="7" xfId="0" applyNumberFormat="1" applyFill="1" applyBorder="1" applyAlignment="1">
      <alignment horizontal="center" vertical="center"/>
    </xf>
    <xf numFmtId="1" fontId="0" fillId="3" borderId="7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7D4E6-1427-47CA-BFA3-AAC7F80A6237}">
  <dimension ref="A1:Z46"/>
  <sheetViews>
    <sheetView tabSelected="1" view="pageLayout" zoomScaleNormal="85" workbookViewId="0">
      <selection activeCell="M8" sqref="M8"/>
    </sheetView>
  </sheetViews>
  <sheetFormatPr defaultRowHeight="15" x14ac:dyDescent="0.25"/>
  <cols>
    <col min="17" max="17" width="10.5703125" bestFit="1" customWidth="1"/>
  </cols>
  <sheetData>
    <row r="1" spans="1:26" ht="15.75" thickBot="1" x14ac:dyDescent="0.3">
      <c r="A1" s="40" t="s">
        <v>0</v>
      </c>
      <c r="B1" s="41" t="s">
        <v>1</v>
      </c>
      <c r="C1" s="42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</row>
    <row r="2" spans="1:26" ht="15.75" thickBot="1" x14ac:dyDescent="0.3">
      <c r="A2" s="43" t="s">
        <v>3</v>
      </c>
      <c r="B2" s="73">
        <v>2</v>
      </c>
      <c r="C2" s="44" t="s">
        <v>7</v>
      </c>
      <c r="D2" s="2"/>
      <c r="E2" s="48" t="s">
        <v>20</v>
      </c>
      <c r="F2" s="49" t="s">
        <v>18</v>
      </c>
      <c r="G2" s="74">
        <v>9</v>
      </c>
      <c r="H2" s="50" t="s">
        <v>7</v>
      </c>
      <c r="I2" s="49" t="s">
        <v>19</v>
      </c>
      <c r="J2" s="74">
        <v>3</v>
      </c>
      <c r="K2" s="50" t="s">
        <v>7</v>
      </c>
      <c r="L2" s="2"/>
      <c r="M2" s="2"/>
    </row>
    <row r="3" spans="1:26" ht="18.75" thickBot="1" x14ac:dyDescent="0.3">
      <c r="A3" s="45" t="s">
        <v>4</v>
      </c>
      <c r="B3" s="69">
        <v>0.02</v>
      </c>
      <c r="C3" s="46" t="s">
        <v>6</v>
      </c>
      <c r="D3" s="2"/>
      <c r="E3" s="51" t="s">
        <v>21</v>
      </c>
      <c r="F3" s="52" t="s">
        <v>18</v>
      </c>
      <c r="G3" s="53">
        <v>6.5</v>
      </c>
      <c r="H3" s="54" t="s">
        <v>7</v>
      </c>
      <c r="I3" s="52" t="s">
        <v>19</v>
      </c>
      <c r="J3" s="53">
        <v>5.5</v>
      </c>
      <c r="K3" s="54" t="s">
        <v>7</v>
      </c>
      <c r="L3" s="2"/>
      <c r="M3" s="2"/>
    </row>
    <row r="4" spans="1:26" ht="15.75" thickBot="1" x14ac:dyDescent="0.3">
      <c r="A4" s="2"/>
      <c r="B4" s="2"/>
      <c r="C4" s="2"/>
      <c r="D4" s="2"/>
      <c r="E4" s="55" t="s">
        <v>22</v>
      </c>
      <c r="F4" s="56" t="s">
        <v>18</v>
      </c>
      <c r="G4" s="57">
        <v>4.5999999999999996</v>
      </c>
      <c r="H4" s="58" t="s">
        <v>7</v>
      </c>
      <c r="I4" s="56" t="s">
        <v>19</v>
      </c>
      <c r="J4" s="57">
        <v>7.4</v>
      </c>
      <c r="K4" s="58" t="s">
        <v>7</v>
      </c>
      <c r="L4" s="2"/>
      <c r="M4" s="2"/>
    </row>
    <row r="5" spans="1:26" ht="18.75" thickBot="1" x14ac:dyDescent="0.3">
      <c r="A5" s="3" t="s">
        <v>5</v>
      </c>
      <c r="B5" s="72">
        <v>12</v>
      </c>
      <c r="C5" s="4" t="s">
        <v>7</v>
      </c>
      <c r="D5" s="2"/>
      <c r="E5" s="59" t="s">
        <v>23</v>
      </c>
      <c r="F5" s="60" t="s">
        <v>18</v>
      </c>
      <c r="G5" s="75">
        <v>3</v>
      </c>
      <c r="H5" s="61" t="s">
        <v>7</v>
      </c>
      <c r="I5" s="60" t="s">
        <v>19</v>
      </c>
      <c r="J5" s="75">
        <v>9</v>
      </c>
      <c r="K5" s="61" t="s">
        <v>7</v>
      </c>
      <c r="L5" s="2"/>
      <c r="M5" s="2"/>
    </row>
    <row r="6" spans="1:26" ht="21" x14ac:dyDescent="0.25">
      <c r="A6" s="5"/>
      <c r="B6" s="5"/>
      <c r="C6" s="5"/>
      <c r="D6" s="2"/>
      <c r="E6" s="6"/>
      <c r="F6" s="5"/>
      <c r="G6" s="5"/>
      <c r="H6" s="5"/>
      <c r="I6" s="5"/>
      <c r="J6" s="5"/>
      <c r="K6" s="5"/>
      <c r="L6" s="2"/>
      <c r="M6" s="2"/>
      <c r="O6" s="2"/>
      <c r="P6" s="16"/>
      <c r="Q6" s="17"/>
      <c r="R6" s="17"/>
      <c r="S6" s="17"/>
      <c r="T6" s="2"/>
      <c r="U6" s="2"/>
      <c r="V6" s="2"/>
      <c r="W6" s="2"/>
      <c r="X6" s="2"/>
    </row>
    <row r="7" spans="1:26" ht="21" x14ac:dyDescent="0.25">
      <c r="A7" s="28" t="s">
        <v>8</v>
      </c>
      <c r="B7" s="71">
        <v>1200</v>
      </c>
      <c r="C7" s="29" t="s">
        <v>10</v>
      </c>
      <c r="D7" s="2"/>
      <c r="E7" s="6"/>
      <c r="F7" s="5"/>
      <c r="G7" s="5"/>
      <c r="H7" s="5"/>
      <c r="I7" s="5"/>
      <c r="J7" s="5"/>
      <c r="K7" s="5"/>
      <c r="L7" s="2"/>
      <c r="M7" s="2"/>
      <c r="O7" s="2"/>
      <c r="P7" s="13"/>
      <c r="Q7" s="14"/>
      <c r="R7" s="14"/>
      <c r="S7" s="14"/>
      <c r="T7" s="2"/>
      <c r="U7" s="2"/>
      <c r="V7" s="2"/>
      <c r="W7" s="2"/>
      <c r="X7" s="2"/>
    </row>
    <row r="8" spans="1:26" ht="21" x14ac:dyDescent="0.25">
      <c r="A8" s="5"/>
      <c r="B8" s="5"/>
      <c r="C8" s="5"/>
      <c r="D8" s="2"/>
      <c r="E8" s="70"/>
      <c r="F8" s="5"/>
      <c r="G8" s="5"/>
      <c r="H8" s="5"/>
      <c r="I8" s="5"/>
      <c r="J8" s="5"/>
      <c r="K8" s="5"/>
      <c r="L8" s="2"/>
      <c r="M8" s="2"/>
      <c r="O8" s="2"/>
      <c r="P8" s="10"/>
      <c r="Q8" s="11"/>
      <c r="R8" s="11"/>
      <c r="S8" s="11"/>
      <c r="T8" s="2"/>
      <c r="U8" s="2"/>
      <c r="V8" s="2"/>
      <c r="W8" s="2"/>
      <c r="X8" s="2"/>
    </row>
    <row r="9" spans="1:26" ht="19.5" thickBot="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O9" s="2"/>
      <c r="P9" s="18"/>
      <c r="Q9" s="18"/>
      <c r="R9" s="18"/>
      <c r="S9" s="18"/>
      <c r="T9" s="2"/>
      <c r="U9" s="18"/>
      <c r="V9" s="18"/>
      <c r="W9" s="18"/>
      <c r="X9" s="18"/>
    </row>
    <row r="10" spans="1:26" ht="24.75" thickBot="1" x14ac:dyDescent="0.3">
      <c r="A10" s="2"/>
      <c r="B10" s="2"/>
      <c r="C10" s="7" t="s">
        <v>11</v>
      </c>
      <c r="D10" s="8"/>
      <c r="E10" s="8"/>
      <c r="F10" s="9"/>
      <c r="G10" s="2"/>
      <c r="H10" s="2"/>
      <c r="I10" s="2"/>
      <c r="J10" s="2"/>
      <c r="K10" s="2"/>
      <c r="L10" s="2"/>
      <c r="M10" s="2"/>
      <c r="O10" s="2"/>
      <c r="P10" s="2"/>
      <c r="Q10" s="2"/>
      <c r="R10" s="19" t="s">
        <v>24</v>
      </c>
      <c r="S10" s="20"/>
      <c r="T10" s="20"/>
      <c r="U10" s="21"/>
      <c r="V10" s="2"/>
      <c r="W10" s="2"/>
      <c r="X10" s="2"/>
      <c r="Y10" s="2"/>
      <c r="Z10" s="2"/>
    </row>
    <row r="11" spans="1:26" ht="21" x14ac:dyDescent="0.25">
      <c r="A11" s="2"/>
      <c r="B11" s="2"/>
      <c r="C11" s="13"/>
      <c r="D11" s="14"/>
      <c r="E11" s="14"/>
      <c r="F11" s="14"/>
      <c r="G11" s="2"/>
      <c r="H11" s="2"/>
      <c r="I11" s="2"/>
      <c r="J11" s="2"/>
      <c r="K11" s="2"/>
      <c r="L11" s="2"/>
      <c r="M11" s="2"/>
      <c r="O11" s="2"/>
      <c r="P11" s="12"/>
      <c r="Q11" s="2"/>
      <c r="R11" s="13"/>
      <c r="S11" s="14"/>
      <c r="T11" s="14"/>
      <c r="U11" s="14"/>
      <c r="V11" s="2"/>
      <c r="W11" s="2"/>
      <c r="X11" s="2"/>
      <c r="Y11" s="2"/>
      <c r="Z11" s="2"/>
    </row>
    <row r="12" spans="1:26" ht="14.25" customHeight="1" thickBot="1" x14ac:dyDescent="0.3">
      <c r="A12" s="2"/>
      <c r="B12" s="2"/>
      <c r="C12" s="10"/>
      <c r="D12" s="11"/>
      <c r="E12" s="11"/>
      <c r="F12" s="11"/>
      <c r="G12" s="2"/>
      <c r="H12" s="2"/>
      <c r="I12" s="2"/>
      <c r="J12" s="2"/>
      <c r="K12" s="2"/>
      <c r="L12" s="2"/>
      <c r="M12" s="2"/>
      <c r="O12" s="2"/>
      <c r="P12" s="2"/>
      <c r="Q12" s="2"/>
      <c r="R12" s="10"/>
      <c r="S12" s="11"/>
      <c r="T12" s="11"/>
      <c r="U12" s="11"/>
      <c r="V12" s="2"/>
      <c r="W12" s="2"/>
      <c r="X12" s="2"/>
      <c r="Y12" s="2"/>
      <c r="Z12" s="2"/>
    </row>
    <row r="13" spans="1:26" ht="32.25" customHeight="1" thickBot="1" x14ac:dyDescent="0.3">
      <c r="A13" s="2"/>
      <c r="B13" s="2"/>
      <c r="C13" s="30" t="s">
        <v>12</v>
      </c>
      <c r="D13" s="31"/>
      <c r="E13" s="31"/>
      <c r="F13" s="32"/>
      <c r="G13" s="2"/>
      <c r="H13" s="30" t="s">
        <v>13</v>
      </c>
      <c r="I13" s="31"/>
      <c r="J13" s="32"/>
      <c r="K13" s="37"/>
      <c r="L13" s="2"/>
      <c r="M13" s="2"/>
      <c r="O13" s="2"/>
      <c r="P13" s="2"/>
      <c r="Q13" s="2"/>
      <c r="R13" s="30" t="s">
        <v>12</v>
      </c>
      <c r="S13" s="31"/>
      <c r="T13" s="31"/>
      <c r="U13" s="32"/>
      <c r="V13" s="2"/>
      <c r="W13" s="30" t="s">
        <v>13</v>
      </c>
      <c r="X13" s="31"/>
      <c r="Y13" s="32"/>
      <c r="Z13" s="47"/>
    </row>
    <row r="14" spans="1:26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68"/>
      <c r="M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5">
      <c r="A15" s="2"/>
      <c r="B15" s="2"/>
      <c r="C15" s="33" t="s">
        <v>14</v>
      </c>
      <c r="D15" s="34" t="s">
        <v>15</v>
      </c>
      <c r="E15" s="34" t="s">
        <v>16</v>
      </c>
      <c r="F15" s="34" t="s">
        <v>17</v>
      </c>
      <c r="G15" s="2"/>
      <c r="H15" s="33" t="s">
        <v>14</v>
      </c>
      <c r="I15" s="34" t="s">
        <v>15</v>
      </c>
      <c r="J15" s="34" t="s">
        <v>16</v>
      </c>
      <c r="K15" s="36"/>
      <c r="L15" s="2"/>
      <c r="M15" s="2"/>
      <c r="O15" s="2"/>
      <c r="P15" s="2"/>
      <c r="Q15" s="2"/>
      <c r="R15" s="33" t="s">
        <v>14</v>
      </c>
      <c r="S15" s="34" t="s">
        <v>15</v>
      </c>
      <c r="T15" s="34" t="s">
        <v>16</v>
      </c>
      <c r="U15" s="34" t="s">
        <v>17</v>
      </c>
      <c r="V15" s="2"/>
      <c r="W15" s="33" t="s">
        <v>14</v>
      </c>
      <c r="X15" s="34" t="s">
        <v>15</v>
      </c>
      <c r="Y15" s="34" t="s">
        <v>16</v>
      </c>
      <c r="Z15" s="2"/>
    </row>
    <row r="16" spans="1:26" x14ac:dyDescent="0.25">
      <c r="A16" s="2"/>
      <c r="B16" s="15" t="s">
        <v>8</v>
      </c>
      <c r="C16" s="64">
        <f>B7</f>
        <v>1200</v>
      </c>
      <c r="D16" s="64">
        <f>G2</f>
        <v>9</v>
      </c>
      <c r="E16" s="15">
        <f>E19</f>
        <v>7.4999999999999997E-3</v>
      </c>
      <c r="F16" s="15">
        <f>D16*E16</f>
        <v>6.7500000000000004E-2</v>
      </c>
      <c r="G16" s="2"/>
      <c r="H16" s="64">
        <v>1183</v>
      </c>
      <c r="I16" s="64">
        <v>3.3</v>
      </c>
      <c r="J16" s="15">
        <v>1.7999999999999999E-2</v>
      </c>
      <c r="K16" s="35"/>
      <c r="L16" s="2"/>
      <c r="M16" s="2"/>
      <c r="Q16" s="15" t="s">
        <v>8</v>
      </c>
      <c r="R16" s="64">
        <f>B7</f>
        <v>1200</v>
      </c>
      <c r="S16" s="64">
        <f>G3</f>
        <v>6.5</v>
      </c>
      <c r="T16" s="15">
        <f>T19</f>
        <v>5.4166666666666669E-3</v>
      </c>
      <c r="U16" s="15">
        <f>S16*T16</f>
        <v>3.5208333333333335E-2</v>
      </c>
      <c r="V16" s="2"/>
      <c r="W16" s="64">
        <v>1183</v>
      </c>
      <c r="X16" s="15">
        <v>6.5179999999999998</v>
      </c>
      <c r="Y16" s="15">
        <v>7.0000000000000001E-3</v>
      </c>
      <c r="Z16" s="2"/>
    </row>
    <row r="17" spans="1:26" x14ac:dyDescent="0.25">
      <c r="A17" s="2"/>
      <c r="B17" s="15" t="s">
        <v>9</v>
      </c>
      <c r="C17" s="64">
        <f>(J2*B7)/(B5-J2)</f>
        <v>400</v>
      </c>
      <c r="D17" s="64">
        <f>J2</f>
        <v>3</v>
      </c>
      <c r="E17" s="15">
        <f>E19</f>
        <v>7.4999999999999997E-3</v>
      </c>
      <c r="F17" s="15">
        <f>D17*E17</f>
        <v>2.2499999999999999E-2</v>
      </c>
      <c r="G17" s="2"/>
      <c r="H17" s="64">
        <v>400</v>
      </c>
      <c r="I17" s="64">
        <v>8.4</v>
      </c>
      <c r="J17" s="15">
        <v>2.5000000000000001E-3</v>
      </c>
      <c r="K17" s="35"/>
      <c r="L17" s="2"/>
      <c r="M17" s="2"/>
      <c r="Q17" s="15" t="s">
        <v>9</v>
      </c>
      <c r="R17" s="64">
        <f>(S17*R16)/(B5-S17)</f>
        <v>1015.3846153846154</v>
      </c>
      <c r="S17" s="64">
        <f>J3</f>
        <v>5.5</v>
      </c>
      <c r="T17" s="15">
        <f>T19</f>
        <v>5.4166666666666669E-3</v>
      </c>
      <c r="U17" s="15">
        <f>S17*T17</f>
        <v>2.9791666666666668E-2</v>
      </c>
      <c r="V17" s="2"/>
      <c r="W17" s="64">
        <v>1192</v>
      </c>
      <c r="X17" s="15">
        <v>5.3780000000000001</v>
      </c>
      <c r="Y17" s="15">
        <v>7.4999999999999997E-3</v>
      </c>
      <c r="Z17" s="2"/>
    </row>
    <row r="18" spans="1:26" ht="18" x14ac:dyDescent="0.25">
      <c r="A18" s="2"/>
      <c r="B18" s="15" t="s">
        <v>28</v>
      </c>
      <c r="C18" s="64">
        <f>(D17-B2)/B3</f>
        <v>50</v>
      </c>
      <c r="D18" s="64">
        <f>E18*C18</f>
        <v>1</v>
      </c>
      <c r="E18" s="62">
        <f>B3</f>
        <v>0.02</v>
      </c>
      <c r="F18" s="62">
        <f>D18*E18</f>
        <v>0.02</v>
      </c>
      <c r="G18" s="2"/>
      <c r="H18" s="64">
        <v>55.5</v>
      </c>
      <c r="I18" s="15">
        <v>0.874</v>
      </c>
      <c r="J18" s="15">
        <v>1.4999999999999999E-2</v>
      </c>
      <c r="K18" s="35"/>
      <c r="L18" s="2"/>
      <c r="M18" s="2"/>
      <c r="Q18" s="15" t="s">
        <v>28</v>
      </c>
      <c r="R18" s="64">
        <f>(S17-B2)/B3</f>
        <v>175</v>
      </c>
      <c r="S18" s="64">
        <f>R18*T18</f>
        <v>3.5</v>
      </c>
      <c r="T18" s="15">
        <f>B3</f>
        <v>0.02</v>
      </c>
      <c r="U18" s="15">
        <f>S18*T18</f>
        <v>7.0000000000000007E-2</v>
      </c>
      <c r="V18" s="2"/>
      <c r="W18" s="64">
        <v>177</v>
      </c>
      <c r="X18" s="15">
        <v>0.874</v>
      </c>
      <c r="Y18" s="15">
        <v>4.0000000000000001E-3</v>
      </c>
      <c r="Z18" s="2"/>
    </row>
    <row r="19" spans="1:26" ht="18" x14ac:dyDescent="0.25">
      <c r="A19" s="2"/>
      <c r="B19" s="15" t="s">
        <v>25</v>
      </c>
      <c r="C19" s="15"/>
      <c r="D19" s="64">
        <f>B5</f>
        <v>12</v>
      </c>
      <c r="E19" s="15">
        <f>B5/(C16+C17)</f>
        <v>7.4999999999999997E-3</v>
      </c>
      <c r="F19" s="62">
        <f>D19*E19</f>
        <v>0.09</v>
      </c>
      <c r="G19" s="68"/>
      <c r="H19" s="39"/>
      <c r="I19" s="39"/>
      <c r="J19" s="15">
        <v>1.7999999999999999E-2</v>
      </c>
      <c r="K19" s="38"/>
      <c r="L19" s="2"/>
      <c r="M19" s="2"/>
      <c r="Q19" s="15" t="s">
        <v>25</v>
      </c>
      <c r="R19" s="15"/>
      <c r="S19" s="64">
        <f>B5</f>
        <v>12</v>
      </c>
      <c r="T19" s="15">
        <f>S19/(R16+R17)</f>
        <v>5.4166666666666669E-3</v>
      </c>
      <c r="U19" s="15">
        <f>S19*T19</f>
        <v>6.5000000000000002E-2</v>
      </c>
      <c r="V19" s="2"/>
      <c r="W19" s="67"/>
      <c r="X19" s="39"/>
      <c r="Y19" s="15">
        <v>7.0000000000000001E-3</v>
      </c>
      <c r="Z19" s="2"/>
    </row>
    <row r="20" spans="1:26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W20" s="2"/>
      <c r="X20" s="2"/>
      <c r="Y20" s="2"/>
    </row>
    <row r="21" spans="1:26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W21" s="2"/>
      <c r="X21" s="2"/>
      <c r="Y21" s="2"/>
    </row>
    <row r="22" spans="1:26" x14ac:dyDescent="0.25">
      <c r="A22" s="2"/>
      <c r="B22" s="15" t="s">
        <v>29</v>
      </c>
      <c r="C22" s="15" t="s">
        <v>30</v>
      </c>
      <c r="D22" s="64">
        <f>B2</f>
        <v>2</v>
      </c>
      <c r="E22" s="62">
        <f>B3</f>
        <v>0.02</v>
      </c>
      <c r="F22" s="62">
        <f>D22*E22</f>
        <v>0.04</v>
      </c>
      <c r="G22" s="2"/>
      <c r="H22" s="15" t="s">
        <v>30</v>
      </c>
      <c r="I22" s="15">
        <v>2.0649999999999999</v>
      </c>
      <c r="J22" s="15">
        <v>1.7999999999999999E-2</v>
      </c>
      <c r="K22" s="2"/>
      <c r="L22" s="2"/>
      <c r="M22" s="2"/>
      <c r="Q22" s="15" t="s">
        <v>29</v>
      </c>
      <c r="R22" s="15" t="s">
        <v>30</v>
      </c>
      <c r="S22" s="64">
        <f>B2</f>
        <v>2</v>
      </c>
      <c r="T22" s="62">
        <f>B3</f>
        <v>0.02</v>
      </c>
      <c r="U22" s="62">
        <f>S22*T22</f>
        <v>0.04</v>
      </c>
      <c r="W22" s="15" t="s">
        <v>30</v>
      </c>
      <c r="X22" s="15">
        <v>2.0649999999999999</v>
      </c>
      <c r="Y22" s="15">
        <v>4.0000000000000001E-3</v>
      </c>
    </row>
    <row r="23" spans="1:26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26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26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26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26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1:26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26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26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26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26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25" ht="15.75" thickBo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25" ht="24.75" thickBot="1" x14ac:dyDescent="0.3">
      <c r="A34" s="1"/>
      <c r="B34" s="2"/>
      <c r="C34" s="22" t="s">
        <v>26</v>
      </c>
      <c r="D34" s="23"/>
      <c r="E34" s="23"/>
      <c r="F34" s="24"/>
      <c r="G34" s="2"/>
      <c r="H34" s="2"/>
      <c r="I34" s="2"/>
      <c r="J34" s="2"/>
      <c r="K34" s="2"/>
      <c r="L34" s="1"/>
      <c r="M34" s="1"/>
      <c r="P34" s="2"/>
      <c r="Q34" s="25" t="s">
        <v>27</v>
      </c>
      <c r="R34" s="26"/>
      <c r="S34" s="26"/>
      <c r="T34" s="27"/>
      <c r="U34" s="2"/>
      <c r="V34" s="2"/>
      <c r="W34" s="2"/>
      <c r="X34" s="2"/>
      <c r="Y34" s="2"/>
    </row>
    <row r="35" spans="1:25" ht="21" x14ac:dyDescent="0.25">
      <c r="A35" s="1"/>
      <c r="B35" s="2"/>
      <c r="C35" s="13"/>
      <c r="D35" s="14"/>
      <c r="E35" s="14"/>
      <c r="F35" s="14"/>
      <c r="G35" s="2"/>
      <c r="H35" s="2"/>
      <c r="I35" s="2"/>
      <c r="J35" s="2"/>
      <c r="K35" s="2"/>
      <c r="L35" s="1"/>
      <c r="M35" s="1"/>
      <c r="P35" s="2"/>
      <c r="Q35" s="13"/>
      <c r="R35" s="14"/>
      <c r="S35" s="14"/>
      <c r="T35" s="14"/>
      <c r="U35" s="2"/>
      <c r="V35" s="2"/>
      <c r="W35" s="2"/>
      <c r="X35" s="2"/>
      <c r="Y35" s="2"/>
    </row>
    <row r="36" spans="1:25" ht="17.25" customHeight="1" thickBot="1" x14ac:dyDescent="0.3">
      <c r="B36" s="2"/>
      <c r="C36" s="10"/>
      <c r="D36" s="11"/>
      <c r="E36" s="11"/>
      <c r="F36" s="11"/>
      <c r="G36" s="2"/>
      <c r="H36" s="2"/>
      <c r="I36" s="2"/>
      <c r="J36" s="2"/>
      <c r="K36" s="2"/>
      <c r="P36" s="2"/>
      <c r="Q36" s="10"/>
      <c r="R36" s="11"/>
      <c r="S36" s="11"/>
      <c r="T36" s="11"/>
      <c r="U36" s="2"/>
      <c r="V36" s="2"/>
      <c r="W36" s="2"/>
      <c r="X36" s="2"/>
      <c r="Y36" s="2"/>
    </row>
    <row r="37" spans="1:25" ht="30" customHeight="1" thickBot="1" x14ac:dyDescent="0.3">
      <c r="B37" s="2"/>
      <c r="C37" s="30" t="s">
        <v>12</v>
      </c>
      <c r="D37" s="31"/>
      <c r="E37" s="31"/>
      <c r="F37" s="32"/>
      <c r="G37" s="2"/>
      <c r="H37" s="30" t="s">
        <v>13</v>
      </c>
      <c r="I37" s="31"/>
      <c r="J37" s="31"/>
      <c r="K37" s="47"/>
      <c r="O37" s="65"/>
      <c r="P37" s="2"/>
      <c r="Q37" s="30" t="s">
        <v>12</v>
      </c>
      <c r="R37" s="31"/>
      <c r="S37" s="31"/>
      <c r="T37" s="32"/>
      <c r="U37" s="2"/>
      <c r="V37" s="30" t="s">
        <v>13</v>
      </c>
      <c r="W37" s="31"/>
      <c r="X37" s="31"/>
      <c r="Y37" s="47"/>
    </row>
    <row r="38" spans="1:25" x14ac:dyDescent="0.25">
      <c r="B38" s="2"/>
      <c r="C38" s="2"/>
      <c r="D38" s="2"/>
      <c r="E38" s="2"/>
      <c r="F38" s="2"/>
      <c r="G38" s="2"/>
      <c r="H38" s="2"/>
      <c r="I38" s="2"/>
      <c r="J38" s="2"/>
      <c r="K38" s="2"/>
      <c r="L38" s="66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x14ac:dyDescent="0.25">
      <c r="B39" s="2"/>
      <c r="C39" s="33" t="s">
        <v>14</v>
      </c>
      <c r="D39" s="34" t="s">
        <v>15</v>
      </c>
      <c r="E39" s="34" t="s">
        <v>16</v>
      </c>
      <c r="F39" s="34" t="s">
        <v>17</v>
      </c>
      <c r="G39" s="2"/>
      <c r="H39" s="33" t="s">
        <v>14</v>
      </c>
      <c r="I39" s="34" t="s">
        <v>15</v>
      </c>
      <c r="J39" s="34" t="s">
        <v>16</v>
      </c>
      <c r="K39" s="2"/>
      <c r="P39" s="2"/>
      <c r="Q39" s="33" t="s">
        <v>14</v>
      </c>
      <c r="R39" s="34" t="s">
        <v>15</v>
      </c>
      <c r="S39" s="34" t="s">
        <v>16</v>
      </c>
      <c r="T39" s="34" t="s">
        <v>17</v>
      </c>
      <c r="U39" s="2"/>
      <c r="V39" s="33" t="s">
        <v>14</v>
      </c>
      <c r="W39" s="34" t="s">
        <v>15</v>
      </c>
      <c r="X39" s="34" t="s">
        <v>16</v>
      </c>
      <c r="Y39" s="2"/>
    </row>
    <row r="40" spans="1:25" x14ac:dyDescent="0.25">
      <c r="B40" s="15" t="s">
        <v>8</v>
      </c>
      <c r="C40" s="64">
        <f>B7</f>
        <v>1200</v>
      </c>
      <c r="D40" s="63">
        <f>G4</f>
        <v>4.5999999999999996</v>
      </c>
      <c r="E40" s="15">
        <f>E43</f>
        <v>3.8333333333333331E-3</v>
      </c>
      <c r="F40" s="15">
        <f>D40*E40</f>
        <v>1.7633333333333331E-2</v>
      </c>
      <c r="G40" s="2"/>
      <c r="H40" s="64">
        <v>1183</v>
      </c>
      <c r="I40" s="62">
        <v>4.16</v>
      </c>
      <c r="J40" s="15">
        <v>6.7999999999999996E-3</v>
      </c>
      <c r="K40" s="2"/>
      <c r="P40" s="15" t="s">
        <v>8</v>
      </c>
      <c r="Q40" s="64">
        <f>B7</f>
        <v>1200</v>
      </c>
      <c r="R40" s="64">
        <f>G5</f>
        <v>3</v>
      </c>
      <c r="S40" s="15">
        <f>S43</f>
        <v>2.5000000000000001E-3</v>
      </c>
      <c r="T40" s="15">
        <f>R40*S40</f>
        <v>7.4999999999999997E-3</v>
      </c>
      <c r="U40" s="2"/>
      <c r="V40" s="64">
        <v>1183</v>
      </c>
      <c r="W40" s="15">
        <v>2.8130000000000002</v>
      </c>
      <c r="X40" s="15">
        <v>6.0000000000000001E-3</v>
      </c>
      <c r="Y40" s="2"/>
    </row>
    <row r="41" spans="1:25" x14ac:dyDescent="0.25">
      <c r="B41" s="15" t="s">
        <v>9</v>
      </c>
      <c r="C41" s="64">
        <f>(D41*C40)/(D43-D41)</f>
        <v>1930.4347826086957</v>
      </c>
      <c r="D41" s="63">
        <f>J4</f>
        <v>7.4</v>
      </c>
      <c r="E41" s="15">
        <f>E43</f>
        <v>3.8333333333333331E-3</v>
      </c>
      <c r="F41" s="15">
        <f>D41*E41</f>
        <v>2.8366666666666665E-2</v>
      </c>
      <c r="G41" s="2"/>
      <c r="H41" s="64">
        <v>2150</v>
      </c>
      <c r="I41" s="63">
        <v>7.3</v>
      </c>
      <c r="J41" s="15">
        <v>6.6E-3</v>
      </c>
      <c r="K41" s="2"/>
      <c r="P41" s="15" t="s">
        <v>9</v>
      </c>
      <c r="Q41" s="64">
        <f>(R41*Q40)/(R43-R41)</f>
        <v>3600</v>
      </c>
      <c r="R41" s="64">
        <f>J5</f>
        <v>9</v>
      </c>
      <c r="S41" s="15">
        <f>S43</f>
        <v>2.5000000000000001E-3</v>
      </c>
      <c r="T41" s="15">
        <f>R41*S41</f>
        <v>2.2499999999999999E-2</v>
      </c>
      <c r="U41" s="2"/>
      <c r="V41" s="64">
        <v>3830</v>
      </c>
      <c r="W41" s="62">
        <v>9.11</v>
      </c>
      <c r="X41" s="15">
        <v>6.0000000000000001E-3</v>
      </c>
      <c r="Y41" s="2"/>
    </row>
    <row r="42" spans="1:25" x14ac:dyDescent="0.25">
      <c r="B42" s="15" t="s">
        <v>28</v>
      </c>
      <c r="C42" s="64">
        <f>(D41-B2)/B3</f>
        <v>270</v>
      </c>
      <c r="D42" s="63">
        <f>C42*E42</f>
        <v>5.4</v>
      </c>
      <c r="E42" s="62">
        <f>B3</f>
        <v>0.02</v>
      </c>
      <c r="F42" s="15">
        <f>D42*E42</f>
        <v>0.10800000000000001</v>
      </c>
      <c r="G42" s="2"/>
      <c r="H42" s="64">
        <v>265</v>
      </c>
      <c r="I42" s="15">
        <v>1.4350000000000001</v>
      </c>
      <c r="J42" s="15">
        <v>5.0000000000000001E-3</v>
      </c>
      <c r="K42" s="2"/>
      <c r="P42" s="15" t="s">
        <v>28</v>
      </c>
      <c r="Q42" s="64">
        <f>(R41-B2)/S42</f>
        <v>350</v>
      </c>
      <c r="R42" s="64">
        <f>Q42*S42</f>
        <v>7</v>
      </c>
      <c r="S42" s="15">
        <f>B3</f>
        <v>0.02</v>
      </c>
      <c r="T42" s="62">
        <f>R42*S42</f>
        <v>0.14000000000000001</v>
      </c>
      <c r="U42" s="2"/>
      <c r="V42" s="64">
        <v>379</v>
      </c>
      <c r="W42" s="15">
        <v>2.0950000000000002</v>
      </c>
      <c r="X42" s="15">
        <v>5.0000000000000001E-3</v>
      </c>
      <c r="Y42" s="2"/>
    </row>
    <row r="43" spans="1:25" x14ac:dyDescent="0.25">
      <c r="B43" s="15" t="s">
        <v>25</v>
      </c>
      <c r="C43" s="15"/>
      <c r="D43" s="64">
        <f>B5</f>
        <v>12</v>
      </c>
      <c r="E43" s="15">
        <f>D43/(C40+C41)</f>
        <v>3.8333333333333331E-3</v>
      </c>
      <c r="F43" s="15">
        <f>D43*E43</f>
        <v>4.5999999999999999E-2</v>
      </c>
      <c r="G43" s="2"/>
      <c r="H43" s="39"/>
      <c r="I43" s="39"/>
      <c r="J43" s="15">
        <v>7.0000000000000001E-3</v>
      </c>
      <c r="K43" s="2"/>
      <c r="P43" s="15" t="s">
        <v>25</v>
      </c>
      <c r="Q43" s="15"/>
      <c r="R43" s="64">
        <f>B5</f>
        <v>12</v>
      </c>
      <c r="S43" s="15">
        <f>R43/(Q40+Q41)</f>
        <v>2.5000000000000001E-3</v>
      </c>
      <c r="T43" s="62">
        <f>R43*S43</f>
        <v>0.03</v>
      </c>
      <c r="U43" s="2"/>
      <c r="V43" s="39"/>
      <c r="W43" s="39"/>
      <c r="X43" s="15">
        <v>6.0000000000000001E-3</v>
      </c>
      <c r="Y43" s="2"/>
    </row>
    <row r="44" spans="1:25" x14ac:dyDescent="0.25">
      <c r="H44" s="2"/>
      <c r="I44" s="2"/>
      <c r="J44" s="2"/>
      <c r="V44" s="2"/>
      <c r="W44" s="2"/>
      <c r="X44" s="2"/>
    </row>
    <row r="45" spans="1:25" x14ac:dyDescent="0.25">
      <c r="H45" s="2"/>
      <c r="I45" s="2"/>
      <c r="J45" s="2"/>
      <c r="V45" s="2"/>
      <c r="W45" s="2"/>
      <c r="X45" s="2"/>
    </row>
    <row r="46" spans="1:25" x14ac:dyDescent="0.25">
      <c r="B46" s="15" t="s">
        <v>29</v>
      </c>
      <c r="C46" s="15" t="s">
        <v>30</v>
      </c>
      <c r="D46" s="64">
        <f>B2</f>
        <v>2</v>
      </c>
      <c r="E46" s="62">
        <f>B3</f>
        <v>0.02</v>
      </c>
      <c r="F46" s="62">
        <f>D46*E46</f>
        <v>0.04</v>
      </c>
      <c r="H46" s="15" t="s">
        <v>30</v>
      </c>
      <c r="I46" s="62">
        <v>1.96</v>
      </c>
      <c r="J46" s="15">
        <v>5.0000000000000001E-3</v>
      </c>
      <c r="P46" s="15" t="s">
        <v>29</v>
      </c>
      <c r="Q46" s="15" t="s">
        <v>30</v>
      </c>
      <c r="R46" s="64">
        <f>B2</f>
        <v>2</v>
      </c>
      <c r="S46" s="62">
        <f>B3</f>
        <v>0.02</v>
      </c>
      <c r="T46" s="62">
        <f>R46*S46</f>
        <v>0.04</v>
      </c>
      <c r="V46" s="15" t="s">
        <v>30</v>
      </c>
      <c r="W46" s="62">
        <v>1.95</v>
      </c>
      <c r="X46" s="15">
        <v>5.0000000000000001E-3</v>
      </c>
    </row>
  </sheetData>
  <mergeCells count="12">
    <mergeCell ref="W13:Y13"/>
    <mergeCell ref="H37:J37"/>
    <mergeCell ref="V37:X37"/>
    <mergeCell ref="C34:F34"/>
    <mergeCell ref="C37:F37"/>
    <mergeCell ref="Q34:T34"/>
    <mergeCell ref="Q37:T37"/>
    <mergeCell ref="C10:F10"/>
    <mergeCell ref="C13:F13"/>
    <mergeCell ref="R10:U10"/>
    <mergeCell ref="R13:U13"/>
    <mergeCell ref="H13:J13"/>
  </mergeCells>
  <phoneticPr fontId="3" type="noConversion"/>
  <printOptions headings="1" gridLines="1"/>
  <pageMargins left="0.7" right="0.7" top="0.75" bottom="0.75" header="0.3" footer="0.3"/>
  <pageSetup paperSize="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Kyell De Windt</dc:creator>
  <cp:lastModifiedBy>Kyell De Windt</cp:lastModifiedBy>
  <dcterms:created xsi:type="dcterms:W3CDTF">2024-10-07T16:09:10Z</dcterms:created>
  <dcterms:modified xsi:type="dcterms:W3CDTF">2024-10-07T20:33:53Z</dcterms:modified>
</cp:coreProperties>
</file>