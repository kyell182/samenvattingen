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electronica stem\opdracht 1\"/>
    </mc:Choice>
  </mc:AlternateContent>
  <xr:revisionPtr revIDLastSave="0" documentId="13_ncr:1_{404A9077-E075-4FB5-A31D-40F645F8B7DA}" xr6:coauthVersionLast="47" xr6:coauthVersionMax="47" xr10:uidLastSave="{00000000-0000-0000-0000-000000000000}"/>
  <bookViews>
    <workbookView xWindow="-120" yWindow="-120" windowWidth="29040" windowHeight="15720" xr2:uid="{99B9DB1F-507E-44F4-B1D2-DB5AF7FCD17B}"/>
  </bookViews>
  <sheets>
    <sheet name="gegevens" sheetId="1" r:id="rId1"/>
  </sheets>
  <definedNames>
    <definedName name="_xlnm._FilterDatabase" localSheetId="0" hidden="1">gegevens!$D$16:$K$30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5" i="1"/>
  <c r="E28" i="1"/>
  <c r="E26" i="1"/>
  <c r="E27" i="1" s="1"/>
  <c r="E25" i="1"/>
  <c r="G25" i="1" l="1"/>
  <c r="G18" i="1"/>
  <c r="F18" i="1" s="1"/>
  <c r="H18" i="1" s="1"/>
  <c r="H25" i="1"/>
  <c r="G17" i="1"/>
  <c r="F17" i="1" s="1"/>
  <c r="H17" i="1" s="1"/>
  <c r="E29" i="1"/>
  <c r="E30" i="1" l="1"/>
  <c r="G30" i="1" s="1"/>
  <c r="F30" i="1" s="1"/>
  <c r="H30" i="1" s="1"/>
  <c r="G29" i="1"/>
  <c r="H29" i="1" l="1"/>
  <c r="G28" i="1"/>
  <c r="F28" i="1" s="1"/>
  <c r="G27" i="1"/>
  <c r="F27" i="1" s="1"/>
  <c r="F21" i="1" l="1"/>
  <c r="H27" i="1"/>
  <c r="F26" i="1"/>
  <c r="H28" i="1"/>
  <c r="F22" i="1"/>
  <c r="F24" i="1"/>
  <c r="F23" i="1"/>
  <c r="G23" i="1" l="1"/>
  <c r="H23" i="1" s="1"/>
  <c r="G24" i="1"/>
  <c r="H24" i="1" s="1"/>
  <c r="G22" i="1"/>
  <c r="H22" i="1" s="1"/>
  <c r="G26" i="1"/>
  <c r="H26" i="1"/>
  <c r="G21" i="1"/>
  <c r="H21" i="1" s="1"/>
  <c r="G19" i="1" l="1"/>
  <c r="F19" i="1" s="1"/>
  <c r="H19" i="1" s="1"/>
  <c r="G20" i="1"/>
  <c r="F20" i="1" s="1"/>
  <c r="H20" i="1" s="1"/>
</calcChain>
</file>

<file path=xl/sharedStrings.xml><?xml version="1.0" encoding="utf-8"?>
<sst xmlns="http://schemas.openxmlformats.org/spreadsheetml/2006/main" count="27" uniqueCount="24">
  <si>
    <t>R1</t>
  </si>
  <si>
    <t>R2</t>
  </si>
  <si>
    <t>R3</t>
  </si>
  <si>
    <t>R4</t>
  </si>
  <si>
    <t>R5</t>
  </si>
  <si>
    <t>R6</t>
  </si>
  <si>
    <t>R7</t>
  </si>
  <si>
    <t>R8</t>
  </si>
  <si>
    <t>Ut</t>
  </si>
  <si>
    <t>R12</t>
  </si>
  <si>
    <t>R34</t>
  </si>
  <si>
    <t>R345</t>
  </si>
  <si>
    <t>R678</t>
  </si>
  <si>
    <t>R345678</t>
  </si>
  <si>
    <t>Rt</t>
  </si>
  <si>
    <r>
      <t xml:space="preserve">R = </t>
    </r>
    <r>
      <rPr>
        <sz val="11"/>
        <color theme="1"/>
        <rFont val="Aptos Narrow"/>
        <family val="2"/>
      </rPr>
      <t>Ω</t>
    </r>
  </si>
  <si>
    <t>U = V</t>
  </si>
  <si>
    <t>I = A</t>
  </si>
  <si>
    <t>P = W</t>
  </si>
  <si>
    <t>gemeten</t>
  </si>
  <si>
    <t>berekend</t>
  </si>
  <si>
    <t>Kyell De Windt</t>
  </si>
  <si>
    <t>PBA EO FASE 1</t>
  </si>
  <si>
    <t>Mr.Vereecke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</si>
</sst>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6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Dot">
        <color indexed="64"/>
      </right>
      <top style="medium">
        <color indexed="64"/>
      </top>
      <bottom style="medium">
        <color indexed="64"/>
      </bottom>
      <diagonal/>
    </border>
    <border>
      <left style="mediumDash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0066"/>
      <color rgb="FFFF99FF"/>
      <color rgb="FFCC9900"/>
      <color rgb="FF00CC66"/>
      <color rgb="FFFF66CC"/>
      <color rgb="FF0066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41EA-397A-4224-A37B-513FC21D91C5}">
  <dimension ref="A1:K30"/>
  <sheetViews>
    <sheetView tabSelected="1" workbookViewId="0">
      <selection activeCell="O6" sqref="O6"/>
    </sheetView>
  </sheetViews>
  <sheetFormatPr defaultRowHeight="15" x14ac:dyDescent="0.25"/>
  <cols>
    <col min="4" max="4" width="11.42578125" customWidth="1"/>
    <col min="5" max="5" width="12.7109375" customWidth="1"/>
    <col min="6" max="6" width="12.85546875" customWidth="1"/>
    <col min="7" max="7" width="12" customWidth="1"/>
    <col min="8" max="8" width="13" customWidth="1"/>
    <col min="9" max="9" width="11.140625" customWidth="1"/>
    <col min="10" max="10" width="12.28515625" customWidth="1"/>
    <col min="11" max="11" width="12.5703125" customWidth="1"/>
  </cols>
  <sheetData>
    <row r="1" spans="1:11" x14ac:dyDescent="0.25">
      <c r="A1" s="16" t="s">
        <v>21</v>
      </c>
      <c r="B1" s="16"/>
      <c r="C1" s="16"/>
      <c r="D1" s="16"/>
      <c r="E1" s="16" t="s">
        <v>22</v>
      </c>
      <c r="F1" s="16"/>
      <c r="G1" s="16"/>
      <c r="H1" s="16" t="s">
        <v>23</v>
      </c>
      <c r="I1" s="16"/>
    </row>
    <row r="2" spans="1:11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1" x14ac:dyDescent="0.25">
      <c r="A4" s="3"/>
      <c r="B4" s="3"/>
    </row>
    <row r="5" spans="1:11" x14ac:dyDescent="0.25">
      <c r="A5" s="3"/>
      <c r="B5" s="3"/>
    </row>
    <row r="6" spans="1:11" x14ac:dyDescent="0.25">
      <c r="A6" s="3"/>
      <c r="B6" s="3"/>
    </row>
    <row r="7" spans="1:11" x14ac:dyDescent="0.25">
      <c r="A7" s="3"/>
      <c r="B7" s="3"/>
    </row>
    <row r="8" spans="1:11" x14ac:dyDescent="0.25">
      <c r="A8" s="3"/>
      <c r="B8" s="3"/>
    </row>
    <row r="9" spans="1:11" ht="15.75" thickBot="1" x14ac:dyDescent="0.3"/>
    <row r="10" spans="1:11" ht="15.75" thickBot="1" x14ac:dyDescent="0.3">
      <c r="G10" s="1" t="s">
        <v>8</v>
      </c>
      <c r="H10" s="2">
        <v>12</v>
      </c>
    </row>
    <row r="12" spans="1:11" ht="15.75" thickBot="1" x14ac:dyDescent="0.3">
      <c r="B12" s="4"/>
    </row>
    <row r="13" spans="1:11" ht="27" thickBot="1" x14ac:dyDescent="0.45">
      <c r="B13" s="4"/>
      <c r="E13" s="11" t="s">
        <v>20</v>
      </c>
      <c r="F13" s="12"/>
      <c r="G13" s="12"/>
      <c r="H13" s="13"/>
      <c r="I13" s="14" t="s">
        <v>19</v>
      </c>
      <c r="J13" s="14"/>
      <c r="K13" s="15"/>
    </row>
    <row r="14" spans="1:11" x14ac:dyDescent="0.25">
      <c r="B14" s="4"/>
    </row>
    <row r="15" spans="1:11" ht="15.75" thickBot="1" x14ac:dyDescent="0.3">
      <c r="B15" s="4"/>
    </row>
    <row r="16" spans="1:11" ht="15.75" thickBot="1" x14ac:dyDescent="0.3">
      <c r="E16" s="37" t="s">
        <v>15</v>
      </c>
      <c r="F16" s="37" t="s">
        <v>16</v>
      </c>
      <c r="G16" s="37" t="s">
        <v>17</v>
      </c>
      <c r="H16" s="37" t="s">
        <v>18</v>
      </c>
      <c r="I16" s="37" t="s">
        <v>15</v>
      </c>
      <c r="J16" s="37" t="s">
        <v>16</v>
      </c>
      <c r="K16" s="37" t="s">
        <v>17</v>
      </c>
    </row>
    <row r="17" spans="4:11" ht="15.75" thickBot="1" x14ac:dyDescent="0.3">
      <c r="D17" s="17" t="s">
        <v>0</v>
      </c>
      <c r="E17" s="18">
        <v>470</v>
      </c>
      <c r="F17" s="19">
        <f>G17*E17</f>
        <v>1.4960212201591512</v>
      </c>
      <c r="G17" s="20">
        <f>G25</f>
        <v>3.183023872679045E-3</v>
      </c>
      <c r="H17" s="21">
        <f t="shared" ref="H17:H30" si="0">F17*G17</f>
        <v>4.7618712578010114E-3</v>
      </c>
      <c r="I17" s="18">
        <v>470.3</v>
      </c>
      <c r="J17" s="20">
        <v>1.4370000000000001</v>
      </c>
      <c r="K17" s="20">
        <v>3.0000000000000001E-3</v>
      </c>
    </row>
    <row r="18" spans="4:11" ht="15.75" thickBot="1" x14ac:dyDescent="0.3">
      <c r="D18" s="5" t="s">
        <v>1</v>
      </c>
      <c r="E18" s="46">
        <v>3300</v>
      </c>
      <c r="F18" s="47">
        <f>G18*E18</f>
        <v>10.503978779840848</v>
      </c>
      <c r="G18" s="48">
        <f>G25</f>
        <v>3.183023872679045E-3</v>
      </c>
      <c r="H18" s="49">
        <f t="shared" si="0"/>
        <v>3.3434415214347528E-2</v>
      </c>
      <c r="I18" s="46">
        <v>3235</v>
      </c>
      <c r="J18" s="48">
        <v>9.8539999999999992</v>
      </c>
      <c r="K18" s="48">
        <v>3.0000000000000001E-3</v>
      </c>
    </row>
    <row r="19" spans="4:11" ht="15.75" thickBot="1" x14ac:dyDescent="0.3">
      <c r="D19" s="22" t="s">
        <v>2</v>
      </c>
      <c r="E19" s="23">
        <v>1000</v>
      </c>
      <c r="F19" s="24">
        <f>E19*G19</f>
        <v>2.7347277807143393</v>
      </c>
      <c r="G19" s="25">
        <f>G26</f>
        <v>2.7347277807143393E-3</v>
      </c>
      <c r="H19" s="26">
        <f t="shared" si="0"/>
        <v>7.4787360346107758E-3</v>
      </c>
      <c r="I19" s="23">
        <v>1001</v>
      </c>
      <c r="J19" s="25">
        <v>2.5920000000000001</v>
      </c>
      <c r="K19" s="25">
        <v>3.0000000000000001E-3</v>
      </c>
    </row>
    <row r="20" spans="4:11" ht="15.75" thickBot="1" x14ac:dyDescent="0.3">
      <c r="D20" s="5" t="s">
        <v>3</v>
      </c>
      <c r="E20" s="46">
        <v>1500</v>
      </c>
      <c r="F20" s="47">
        <f>G20*E20</f>
        <v>4.1020916710715092</v>
      </c>
      <c r="G20" s="48">
        <f>G26</f>
        <v>2.7347277807143393E-3</v>
      </c>
      <c r="H20" s="49">
        <f t="shared" si="0"/>
        <v>1.1218104051916164E-2</v>
      </c>
      <c r="I20" s="46">
        <v>1474</v>
      </c>
      <c r="J20" s="48">
        <v>3.8170000000000002</v>
      </c>
      <c r="K20" s="48">
        <v>8.0000000000000002E-3</v>
      </c>
    </row>
    <row r="21" spans="4:11" ht="15.75" thickBot="1" x14ac:dyDescent="0.3">
      <c r="D21" s="27" t="s">
        <v>4</v>
      </c>
      <c r="E21" s="28">
        <v>1200</v>
      </c>
      <c r="F21" s="29">
        <f>F27</f>
        <v>6.836819451785848</v>
      </c>
      <c r="G21" s="30">
        <f t="shared" ref="G21:G26" si="1">F21/E21</f>
        <v>5.6973495431548735E-3</v>
      </c>
      <c r="H21" s="31">
        <f t="shared" si="0"/>
        <v>3.8951750180264456E-2</v>
      </c>
      <c r="I21" s="28">
        <v>1200</v>
      </c>
      <c r="J21" s="30">
        <v>6.3120000000000003</v>
      </c>
      <c r="K21" s="30">
        <v>6.0000000000000001E-3</v>
      </c>
    </row>
    <row r="22" spans="4:11" ht="15.75" thickBot="1" x14ac:dyDescent="0.3">
      <c r="D22" s="5" t="s">
        <v>5</v>
      </c>
      <c r="E22" s="46">
        <v>1000</v>
      </c>
      <c r="F22" s="47">
        <f>F28</f>
        <v>5.163180548214152</v>
      </c>
      <c r="G22" s="48">
        <f t="shared" si="1"/>
        <v>5.1631805482141519E-3</v>
      </c>
      <c r="H22" s="49">
        <f t="shared" si="0"/>
        <v>2.665843337345699E-2</v>
      </c>
      <c r="I22" s="46">
        <v>1005</v>
      </c>
      <c r="J22" s="48">
        <v>4.8639999999999999</v>
      </c>
      <c r="K22" s="48">
        <v>5.0000000000000001E-3</v>
      </c>
    </row>
    <row r="23" spans="4:11" ht="15.75" thickBot="1" x14ac:dyDescent="0.3">
      <c r="D23" s="32" t="s">
        <v>6</v>
      </c>
      <c r="E23" s="33">
        <v>2200</v>
      </c>
      <c r="F23" s="34">
        <f>F28</f>
        <v>5.163180548214152</v>
      </c>
      <c r="G23" s="35">
        <f t="shared" si="1"/>
        <v>2.3469002491882511E-3</v>
      </c>
      <c r="H23" s="36">
        <f t="shared" si="0"/>
        <v>1.2117469715207723E-2</v>
      </c>
      <c r="I23" s="33">
        <v>2208</v>
      </c>
      <c r="J23" s="35">
        <v>4.8650000000000002</v>
      </c>
      <c r="K23" s="35">
        <v>2E-3</v>
      </c>
    </row>
    <row r="24" spans="4:11" ht="15.75" thickBot="1" x14ac:dyDescent="0.3">
      <c r="D24" s="5" t="s">
        <v>7</v>
      </c>
      <c r="E24" s="46">
        <v>5600</v>
      </c>
      <c r="F24" s="47">
        <f>F28</f>
        <v>5.163180548214152</v>
      </c>
      <c r="G24" s="48">
        <f t="shared" si="1"/>
        <v>9.2199652646681287E-4</v>
      </c>
      <c r="H24" s="49">
        <f t="shared" si="0"/>
        <v>4.7604345309744623E-3</v>
      </c>
      <c r="I24" s="46">
        <v>5562</v>
      </c>
      <c r="J24" s="48">
        <v>4.8650000000000002</v>
      </c>
      <c r="K24" s="49">
        <v>8.0000000000000004E-4</v>
      </c>
    </row>
    <row r="25" spans="4:11" ht="15.75" thickBot="1" x14ac:dyDescent="0.3">
      <c r="D25" s="27" t="s">
        <v>9</v>
      </c>
      <c r="E25" s="28">
        <f xml:space="preserve"> E17+E18</f>
        <v>3770</v>
      </c>
      <c r="F25" s="29">
        <f>H10</f>
        <v>12</v>
      </c>
      <c r="G25" s="30">
        <f t="shared" si="1"/>
        <v>3.183023872679045E-3</v>
      </c>
      <c r="H25" s="31">
        <f t="shared" si="0"/>
        <v>3.8196286472148538E-2</v>
      </c>
      <c r="I25" s="9"/>
      <c r="J25" s="10"/>
      <c r="K25" s="10"/>
    </row>
    <row r="26" spans="4:11" ht="15.75" thickBot="1" x14ac:dyDescent="0.3">
      <c r="D26" s="5" t="s">
        <v>10</v>
      </c>
      <c r="E26" s="46">
        <f>E19+E20</f>
        <v>2500</v>
      </c>
      <c r="F26" s="47">
        <f>F27</f>
        <v>6.836819451785848</v>
      </c>
      <c r="G26" s="48">
        <f t="shared" si="1"/>
        <v>2.7347277807143393E-3</v>
      </c>
      <c r="H26" s="49">
        <f t="shared" si="0"/>
        <v>1.8696840086526938E-2</v>
      </c>
      <c r="I26" s="6"/>
      <c r="J26" s="7"/>
      <c r="K26" s="7"/>
    </row>
    <row r="27" spans="4:11" ht="15.75" thickBot="1" x14ac:dyDescent="0.3">
      <c r="D27" s="38" t="s">
        <v>11</v>
      </c>
      <c r="E27" s="39">
        <f xml:space="preserve"> (1/E26 + 1/E21)^-1</f>
        <v>810.81081081081072</v>
      </c>
      <c r="F27" s="39">
        <f>G27*E27</f>
        <v>6.836819451785848</v>
      </c>
      <c r="G27" s="40">
        <f>G29</f>
        <v>8.4320773238692141E-3</v>
      </c>
      <c r="H27" s="41">
        <f t="shared" si="0"/>
        <v>5.7648590266791401E-2</v>
      </c>
      <c r="I27" s="8"/>
      <c r="J27" s="7"/>
      <c r="K27" s="7"/>
    </row>
    <row r="28" spans="4:11" ht="15.75" thickBot="1" x14ac:dyDescent="0.3">
      <c r="D28" s="5" t="s">
        <v>12</v>
      </c>
      <c r="E28" s="47">
        <f>(1/E22+1/E24+1/E23)^-1</f>
        <v>612.32604373757465</v>
      </c>
      <c r="F28" s="47">
        <f>G28*E28</f>
        <v>5.163180548214152</v>
      </c>
      <c r="G28" s="48">
        <f>G29</f>
        <v>8.4320773238692141E-3</v>
      </c>
      <c r="H28" s="49">
        <f t="shared" si="0"/>
        <v>4.3536337619639168E-2</v>
      </c>
      <c r="I28" s="8"/>
      <c r="J28" s="7"/>
      <c r="K28" s="7"/>
    </row>
    <row r="29" spans="4:11" ht="15.75" thickBot="1" x14ac:dyDescent="0.3">
      <c r="D29" s="42" t="s">
        <v>13</v>
      </c>
      <c r="E29" s="43">
        <f>E27+E28</f>
        <v>1423.1368545483854</v>
      </c>
      <c r="F29" s="43">
        <f>H10</f>
        <v>12</v>
      </c>
      <c r="G29" s="44">
        <f xml:space="preserve"> F29/E29</f>
        <v>8.4320773238692141E-3</v>
      </c>
      <c r="H29" s="45">
        <f t="shared" si="0"/>
        <v>0.10118492788643058</v>
      </c>
      <c r="I29" s="8"/>
      <c r="J29" s="7"/>
      <c r="K29" s="7"/>
    </row>
    <row r="30" spans="4:11" ht="15.75" thickBot="1" x14ac:dyDescent="0.3">
      <c r="D30" s="5" t="s">
        <v>14</v>
      </c>
      <c r="E30" s="47">
        <f>(1/E25 + 1/E29)^-1</f>
        <v>1033.1377916505905</v>
      </c>
      <c r="F30" s="47">
        <f>G30*E30</f>
        <v>12</v>
      </c>
      <c r="G30" s="48">
        <f>H10/E30</f>
        <v>1.161510119654826E-2</v>
      </c>
      <c r="H30" s="49">
        <f t="shared" si="0"/>
        <v>0.13938121435857911</v>
      </c>
      <c r="I30" s="8"/>
      <c r="J30" s="7"/>
      <c r="K30" s="7"/>
    </row>
  </sheetData>
  <autoFilter ref="D16:K30" xr:uid="{952B41EA-397A-4224-A37B-513FC21D91C5}"/>
  <mergeCells count="5">
    <mergeCell ref="E13:H13"/>
    <mergeCell ref="I13:K13"/>
    <mergeCell ref="A1:D3"/>
    <mergeCell ref="E1:G3"/>
    <mergeCell ref="H1:I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gegevens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dcterms:created xsi:type="dcterms:W3CDTF">2024-09-26T17:46:11Z</dcterms:created>
  <dcterms:modified xsi:type="dcterms:W3CDTF">2024-09-28T23:46:46Z</dcterms:modified>
</cp:coreProperties>
</file>